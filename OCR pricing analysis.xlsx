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Crossover" sheetId="3" state="visible" r:id="rId3"/>
    <sheet xmlns:r="http://schemas.openxmlformats.org/officeDocument/2006/relationships" name="Corrections &amp;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$#,##0.00;($#,##0.00);-"/>
    <numFmt numFmtId="167" formatCode="$#,##0.00000"/>
    <numFmt numFmtId="168" formatCode="0.00000"/>
    <numFmt numFmtId="169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6B6B6B"/>
      <sz val="10"/>
    </font>
    <font>
      <name val="Arial"/>
      <color rgb="00008000"/>
      <sz val="10"/>
    </font>
    <font>
      <name val="Arial"/>
      <b val="1"/>
      <color rgb="001C3D7A"/>
      <sz val="10"/>
    </font>
    <font>
      <name val="Arial"/>
      <b val="1"/>
      <color rgb="00B3401F"/>
      <sz val="10"/>
    </font>
    <font>
      <name val="Arial"/>
      <b val="1"/>
      <color rgb="001A7F4B"/>
      <sz val="10"/>
    </font>
    <font>
      <name val="Arial"/>
      <b val="1"/>
      <color rgb="008A6D0B"/>
      <sz val="10"/>
    </font>
  </fonts>
  <fills count="5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F00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thin">
        <color rgb="00D9DEE3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5" fillId="3" borderId="0" pivotButton="0" quotePrefix="0" xfId="0"/>
    <xf numFmtId="164" fontId="5" fillId="3" borderId="0" pivotButton="0" quotePrefix="0" xfId="0"/>
    <xf numFmtId="2" fontId="5" fillId="3" borderId="0" pivotButton="0" quotePrefix="0" xfId="0"/>
    <xf numFmtId="165" fontId="5" fillId="3" borderId="0" pivotButton="0" quotePrefix="0" xfId="0"/>
    <xf numFmtId="0" fontId="6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6" fillId="0" borderId="1" pivotButton="0" quotePrefix="0" xfId="0"/>
    <xf numFmtId="168" fontId="5" fillId="0" borderId="1" pivotButton="0" quotePrefix="0" xfId="0"/>
    <xf numFmtId="3" fontId="5" fillId="0" borderId="1" pivotButton="0" quotePrefix="0" xfId="0"/>
    <xf numFmtId="167" fontId="4" fillId="0" borderId="1" pivotButton="0" quotePrefix="0" xfId="0"/>
    <xf numFmtId="166" fontId="4" fillId="0" borderId="1" pivotButton="0" quotePrefix="0" xfId="0"/>
    <xf numFmtId="0" fontId="7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pivotButton="0" quotePrefix="0" xfId="0"/>
    <xf numFmtId="0" fontId="6" fillId="4" borderId="1" pivotButton="0" quotePrefix="0" xfId="0"/>
    <xf numFmtId="0" fontId="2" fillId="4" borderId="1" pivotButton="0" quotePrefix="0" xfId="0"/>
    <xf numFmtId="0" fontId="0" fillId="4" borderId="1" pivotButton="0" quotePrefix="0" xfId="0"/>
    <xf numFmtId="167" fontId="8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0" fontId="9" fillId="4" borderId="1" pivotButton="0" quotePrefix="0" xfId="0"/>
    <xf numFmtId="0" fontId="2" fillId="4" borderId="1" applyAlignment="1" pivotButton="0" quotePrefix="0" xfId="0">
      <alignment vertical="top" wrapText="1"/>
    </xf>
    <xf numFmtId="0" fontId="10" fillId="0" borderId="1" pivotButton="0" quotePrefix="0" xfId="0"/>
    <xf numFmtId="168" fontId="5" fillId="4" borderId="1" pivotButton="0" quotePrefix="0" xfId="0"/>
    <xf numFmtId="3" fontId="5" fillId="4" borderId="1" pivotButton="0" quotePrefix="0" xfId="0"/>
    <xf numFmtId="0" fontId="10" fillId="4" borderId="1" pivotButton="0" quotePrefix="0" xfId="0"/>
    <xf numFmtId="0" fontId="0" fillId="0" borderId="1" pivotButton="0" quotePrefix="0" xfId="0"/>
    <xf numFmtId="167" fontId="8" fillId="0" borderId="1" pivotButton="0" quotePrefix="0" xfId="0"/>
    <xf numFmtId="0" fontId="7" fillId="4" borderId="1" pivotButton="0" quotePrefix="0" xfId="0"/>
    <xf numFmtId="0" fontId="11" fillId="0" borderId="1" pivotButton="0" quotePrefix="0" xfId="0"/>
    <xf numFmtId="0" fontId="11" fillId="4" borderId="1" pivotButton="0" quotePrefix="0" xfId="0"/>
    <xf numFmtId="0" fontId="12" fillId="4" borderId="1" pivotButton="0" quotePrefix="0" xfId="0"/>
    <xf numFmtId="0" fontId="12" fillId="0" borderId="1" pivotButton="0" quotePrefix="0" xfId="0"/>
    <xf numFmtId="166" fontId="8" fillId="4" borderId="1" pivotButton="0" quotePrefix="0" xfId="0"/>
    <xf numFmtId="3" fontId="4" fillId="0" borderId="0" pivotButton="0" quotePrefix="0" xfId="0"/>
    <xf numFmtId="169" fontId="4" fillId="0" borderId="0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0" customWidth="1" min="3" max="3"/>
  </cols>
  <sheetData>
    <row r="1">
      <c r="A1" s="1" t="inlineStr">
        <is>
          <t>OCR Pricing Ceiling Model - Assumptions</t>
        </is>
      </c>
    </row>
    <row r="2">
      <c r="A2" s="2" t="inlineStr">
        <is>
          <t>Blue cells are inputs. Everything on Comparison and Crossover is a formula driven from this sheet - change a value here and the whole model updates.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Basis / source</t>
        </is>
      </c>
    </row>
    <row r="5">
      <c r="A5" s="4" t="inlineStr">
        <is>
          <t>Benchmark volume - low</t>
        </is>
      </c>
      <c r="B5" s="5" t="n">
        <v>1000</v>
      </c>
      <c r="C5" s="2" t="inlineStr">
        <is>
          <t>The original table's first cost column.</t>
        </is>
      </c>
    </row>
    <row r="6">
      <c r="A6" s="4" t="inlineStr">
        <is>
          <t>Benchmark volume - high</t>
        </is>
      </c>
      <c r="B6" s="5" t="n">
        <v>50000</v>
      </c>
      <c r="C6" s="2" t="inlineStr">
        <is>
          <t>The original table's second cost column.</t>
        </is>
      </c>
    </row>
    <row r="7">
      <c r="A7" s="4" t="inlineStr">
        <is>
          <t>EUR/USD spot rate</t>
        </is>
      </c>
      <c r="B7" s="6" t="n">
        <v>1.1397</v>
      </c>
      <c r="C7" s="2" t="inlineStr">
        <is>
          <t>Spot on 27 Jul 2026 (tradingeconomics.com). The source sheet implied 1.25.</t>
        </is>
      </c>
    </row>
    <row r="8">
      <c r="A8" s="4" t="inlineStr">
        <is>
          <t>SAR/USD peg</t>
        </is>
      </c>
      <c r="B8" s="7" t="n">
        <v>3.75</v>
      </c>
      <c r="C8" s="2" t="inlineStr">
        <is>
          <t>Saudi riyal pegged at 3.75/USD since 1986.</t>
        </is>
      </c>
    </row>
    <row r="9">
      <c r="A9" s="4" t="inlineStr">
        <is>
          <t>Besser monthly fee (SAR)</t>
        </is>
      </c>
      <c r="B9" s="5" t="n">
        <v>5000</v>
      </c>
      <c r="C9" s="2" t="inlineStr">
        <is>
          <t>Source: user's direct email correspondence with Besser OCR.</t>
        </is>
      </c>
    </row>
    <row r="10">
      <c r="A10" s="4" t="inlineStr">
        <is>
          <t>Compute-seconds per page</t>
        </is>
      </c>
      <c r="B10" s="8" t="n">
        <v>1</v>
      </c>
      <c r="C10" s="2" t="inlineStr">
        <is>
          <t>ASSUMPTION - not a vendor figure. Drives the 'Unlimited OCR' row only.</t>
        </is>
      </c>
    </row>
    <row r="11">
      <c r="A11" s="4" t="inlineStr">
        <is>
          <t>Self-host GPU rate (USD/hr)</t>
        </is>
      </c>
      <c r="B11" s="7" t="n">
        <v>3.29</v>
      </c>
      <c r="C11" s="2" t="inlineStr">
        <is>
          <t>H100 80GB SXM5, RunPod Secure Cloud - the dearest mainstream tier, chosen as a ceiling. Community Cloud is ~$1.99/hr.</t>
        </is>
      </c>
    </row>
    <row r="12">
      <c r="A12" s="4" t="inlineStr">
        <is>
          <t>Self-host throughput (pages/sec)</t>
        </is>
      </c>
      <c r="B12" s="8" t="n">
        <v>2</v>
      </c>
      <c r="C12" s="2" t="inlineStr">
        <is>
          <t>ASSUMPTION for dots.mocr. No throughput is published for it. Peer 3B model DeepSeek-OCR benchmarks at 4.65 pages/sec on an H100; 2.0 is a deliberately conservative ceiling.</t>
        </is>
      </c>
    </row>
    <row r="14">
      <c r="A14" s="9" t="inlineStr">
        <is>
          <t>Besser fee in USD</t>
        </is>
      </c>
      <c r="B14" s="10">
        <f>B9/B8</f>
        <v>1333.3333333333333</v>
      </c>
      <c r="C14" s="2" t="inlineStr">
        <is>
          <t>SAR fee / peg. Note: the source sheet used $1,333.00; the peg gives $1,333.33.</t>
        </is>
      </c>
    </row>
    <row r="15">
      <c r="A15" s="9" t="inlineStr">
        <is>
          <t>Self-host cost per page</t>
        </is>
      </c>
      <c r="B15" s="11">
        <f>B11/(B12*3600)</f>
        <v>0.00045694444444444444</v>
      </c>
      <c r="C15" s="2" t="inlineStr">
        <is>
          <t>GPU hourly rate / (pages per second x 3600). Pure compute at 100% utilisation - excludes engineering time, idle capacity, storage, redundancy and retries.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19" customWidth="1" min="4" max="4"/>
    <col width="11" customWidth="1" min="5" max="5"/>
    <col width="19" customWidth="1" min="6" max="6"/>
    <col width="12" customWidth="1" min="7" max="7"/>
    <col width="15" customWidth="1" min="8" max="8"/>
    <col width="17" customWidth="1" min="9" max="9"/>
    <col width="18" customWidth="1" min="10" max="10"/>
    <col width="15" customWidth="1" min="11" max="11"/>
    <col width="15" customWidth="1" min="12" max="12"/>
    <col width="22" customWidth="1" min="13" max="13"/>
    <col width="80" customWidth="1" min="14" max="14"/>
  </cols>
  <sheetData>
    <row r="1">
      <c r="A1" s="1" t="inlineStr">
        <is>
          <t>OCR Pricing Ceiling Comparison</t>
        </is>
      </c>
    </row>
    <row r="2">
      <c r="A2" s="2" t="inlineStr">
        <is>
          <t>Worst-case ceilings, not quoted prices. Sorted by cost at the high benchmark volume. Reviewed 27 Jul 2026.</t>
        </is>
      </c>
    </row>
    <row r="4" ht="30" customHeight="1">
      <c r="A4" s="12" t="inlineStr">
        <is>
          <t>#</t>
        </is>
      </c>
      <c r="B4" s="12" t="inlineStr">
        <is>
          <t>Raw Model</t>
        </is>
      </c>
      <c r="C4" s="12" t="inlineStr">
        <is>
          <t>API Provider / Hosting Mode</t>
        </is>
      </c>
      <c r="D4" s="12" t="inlineStr">
        <is>
          <t>Pricing Model</t>
        </is>
      </c>
      <c r="E4" s="12" t="inlineStr">
        <is>
          <t>Rate</t>
        </is>
      </c>
      <c r="F4" s="12" t="inlineStr">
        <is>
          <t>Unit</t>
        </is>
      </c>
      <c r="G4" s="12" t="inlineStr">
        <is>
          <t>Tokens/Page</t>
        </is>
      </c>
      <c r="H4" s="12" t="inlineStr">
        <is>
          <t>Effective $/Page</t>
        </is>
      </c>
      <c r="I4" s="12" t="inlineStr">
        <is>
          <t>Cost @ 1,000 Pages</t>
        </is>
      </c>
      <c r="J4" s="12" t="inlineStr">
        <is>
          <t>Cost @ 50,000 Pages</t>
        </is>
      </c>
      <c r="K4" s="12" t="inlineStr">
        <is>
          <t>$/Page @ 1,000</t>
        </is>
      </c>
      <c r="L4" s="12" t="inlineStr">
        <is>
          <t>$/Page @ 50,000</t>
        </is>
      </c>
      <c r="M4" s="12" t="inlineStr">
        <is>
          <t>Source Confidence</t>
        </is>
      </c>
      <c r="N4" s="12" t="inlineStr">
        <is>
          <t>Review Note</t>
        </is>
      </c>
    </row>
    <row r="5" ht="52" customHeight="1">
      <c r="A5" s="13" t="n">
        <v>1</v>
      </c>
      <c r="B5" s="14" t="inlineStr">
        <is>
          <t>GLM-OCR</t>
        </is>
      </c>
      <c r="C5" s="13" t="inlineStr">
        <is>
          <t>Z.ai / Alternative Premium Hosts</t>
        </is>
      </c>
      <c r="D5" s="13" t="inlineStr">
        <is>
          <t>Per-token</t>
        </is>
      </c>
      <c r="E5" s="15" t="n">
        <v>0.2</v>
      </c>
      <c r="F5" s="13" t="inlineStr">
        <is>
          <t>USD / 1M tokens</t>
        </is>
      </c>
      <c r="G5" s="16" t="n">
        <v>1500</v>
      </c>
      <c r="H5" s="17">
        <f>E5/1000000*G5</f>
        <v>0.00030000000000000003</v>
      </c>
      <c r="I5" s="18">
        <f>H5*Assumptions!$B$5</f>
        <v>0.30000000000000004</v>
      </c>
      <c r="J5" s="18">
        <f>H5*Assumptions!$B$6</f>
        <v>15.000000000000002</v>
      </c>
      <c r="K5" s="17">
        <f>I5/Assumptions!$B$5</f>
        <v>0.00030000000000000003</v>
      </c>
      <c r="L5" s="17">
        <f>J5/Assumptions!$B$6</f>
        <v>0.00030000000000000003</v>
      </c>
      <c r="M5" s="19" t="inlineStr">
        <is>
          <t>Unverified</t>
        </is>
      </c>
      <c r="N5" s="20" t="inlineStr">
        <is>
          <t>CORRECTED: source sheet said $3.00/$150 - a 10x arithmetic error against its own inputs. Z.ai's per-token rate for an OCR endpoint could not be confirmed from any published page.</t>
        </is>
      </c>
    </row>
    <row r="6" ht="52" customHeight="1">
      <c r="A6" s="21" t="n">
        <v>2</v>
      </c>
      <c r="B6" s="22" t="inlineStr">
        <is>
          <t>dots.mocr (self-hosted)</t>
        </is>
      </c>
      <c r="C6" s="21" t="inlineStr">
        <is>
          <t>Own GPU - vLLM / SGLang (no API exists)</t>
        </is>
      </c>
      <c r="D6" s="21" t="inlineStr">
        <is>
          <t>Self-hosted GPU</t>
        </is>
      </c>
      <c r="E6" s="23" t="inlineStr">
        <is>
          <t>n/a</t>
        </is>
      </c>
      <c r="F6" s="21" t="inlineStr">
        <is>
          <t>derived from GPU hr</t>
        </is>
      </c>
      <c r="G6" s="24" t="n"/>
      <c r="H6" s="25">
        <f>Assumptions!$B$15</f>
        <v>0.00045694444444444444</v>
      </c>
      <c r="I6" s="26">
        <f>H6*Assumptions!$B$5</f>
        <v>0.45694444444444443</v>
      </c>
      <c r="J6" s="26">
        <f>H6*Assumptions!$B$6</f>
        <v>22.84722222222222</v>
      </c>
      <c r="K6" s="27">
        <f>I6/Assumptions!$B$5</f>
        <v>0.00045694444444444444</v>
      </c>
      <c r="L6" s="27">
        <f>J6/Assumptions!$B$6</f>
        <v>0.00045694444444444444</v>
      </c>
      <c r="M6" s="28" t="inlineStr">
        <is>
          <t>Self-hosted (no API)</t>
        </is>
      </c>
      <c r="N6" s="29" t="inlineStr">
        <is>
          <t>NOT AN API PRICE. HuggingFace states plainly: 'This model isn't deployed by any Inference Provider.' MIT-licensed 3B open weights (dots-studio/dots.mocr, rednote-hilab). The figure is rented-GPU compute from the Assumptions tab, not a rate anyone charges. Tops olmOCR-Bench at 83.9 and leads OmniDocBench v1.5 text-edit at 0.031.</t>
        </is>
      </c>
    </row>
    <row r="7" ht="52" customHeight="1">
      <c r="A7" s="13" t="n">
        <v>3</v>
      </c>
      <c r="B7" s="14" t="inlineStr">
        <is>
          <t>PaddleOCR-VL-1.6 (Token Standard)</t>
        </is>
      </c>
      <c r="C7" s="13" t="inlineStr">
        <is>
          <t>Novita AI / Fireworks AI (Surge Rate)</t>
        </is>
      </c>
      <c r="D7" s="13" t="inlineStr">
        <is>
          <t>Per-token</t>
        </is>
      </c>
      <c r="E7" s="15" t="n">
        <v>0.1</v>
      </c>
      <c r="F7" s="13" t="inlineStr">
        <is>
          <t>USD / 1M tokens</t>
        </is>
      </c>
      <c r="G7" s="16" t="n">
        <v>5000</v>
      </c>
      <c r="H7" s="17">
        <f>E7/1000000*G7</f>
        <v>0.0005</v>
      </c>
      <c r="I7" s="18">
        <f>H7*Assumptions!$B$5</f>
        <v>0.5</v>
      </c>
      <c r="J7" s="18">
        <f>H7*Assumptions!$B$6</f>
        <v>25.0</v>
      </c>
      <c r="K7" s="17">
        <f>I7/Assumptions!$B$5</f>
        <v>0.0005</v>
      </c>
      <c r="L7" s="17">
        <f>J7/Assumptions!$B$6</f>
        <v>0.0005</v>
      </c>
      <c r="M7" s="30" t="inlineStr">
        <is>
          <t>Rate disputed</t>
        </is>
      </c>
      <c r="N7" s="20" t="inlineStr">
        <is>
          <t>Arithmetic OK. But Fireworks and Novita both list this model 'Serverless: Not supported' (on-demand GPU only), so neither publishes a per-token rate. Aggregators quote Novita at ~$0.02/1M - 5x below this ceiling.</t>
        </is>
      </c>
    </row>
    <row r="8" ht="52" customHeight="1">
      <c r="A8" s="21" t="n">
        <v>4</v>
      </c>
      <c r="B8" s="22" t="inlineStr">
        <is>
          <t>DeepSeek OCR 2</t>
        </is>
      </c>
      <c r="C8" s="21" t="inlineStr">
        <is>
          <t>SiliconFlow / Official API (Peak Pricing)</t>
        </is>
      </c>
      <c r="D8" s="21" t="inlineStr">
        <is>
          <t>Per-token</t>
        </is>
      </c>
      <c r="E8" s="31" t="n">
        <v>0.5</v>
      </c>
      <c r="F8" s="21" t="inlineStr">
        <is>
          <t>USD / 1M tokens</t>
        </is>
      </c>
      <c r="G8" s="32" t="n">
        <v>1120</v>
      </c>
      <c r="H8" s="27">
        <f>E8/1000000*G8</f>
        <v>0.00056</v>
      </c>
      <c r="I8" s="26">
        <f>H8*Assumptions!$B$5</f>
        <v>0.5599999999999999</v>
      </c>
      <c r="J8" s="26">
        <f>H8*Assumptions!$B$6</f>
        <v>27.999999999999996</v>
      </c>
      <c r="K8" s="27">
        <f>I8/Assumptions!$B$5</f>
        <v>0.00056</v>
      </c>
      <c r="L8" s="27">
        <f>J8/Assumptions!$B$6</f>
        <v>0.00056</v>
      </c>
      <c r="M8" s="33" t="inlineStr">
        <is>
          <t>Rate disputed</t>
        </is>
      </c>
      <c r="N8" s="29" t="inlineStr">
        <is>
          <t>CORRECTED: source sheet said $2.80/$140 - a 5x arithmetic error. Rate is also ~16x published: DeepSeek-OCR is free on SiliconFlow and ~$0.03/1M on DeepInfra. No public model named 'DeepSeek OCR 2' was found.</t>
        </is>
      </c>
    </row>
    <row r="9" ht="52" customHeight="1">
      <c r="A9" s="13" t="n">
        <v>5</v>
      </c>
      <c r="B9" s="14" t="inlineStr">
        <is>
          <t>Unlimited OCR (Serverless)</t>
        </is>
      </c>
      <c r="C9" s="13" t="inlineStr">
        <is>
          <t>Managed Third-Party (Unoptimized A100 node)</t>
        </is>
      </c>
      <c r="D9" s="13" t="inlineStr">
        <is>
          <t>Compute-time</t>
        </is>
      </c>
      <c r="E9" s="15" t="n">
        <v>0.001</v>
      </c>
      <c r="F9" s="13" t="inlineStr">
        <is>
          <t>USD / compute-sec</t>
        </is>
      </c>
      <c r="G9" s="34" t="n"/>
      <c r="H9" s="35">
        <f>E9*Assumptions!$B$10</f>
        <v>0.001</v>
      </c>
      <c r="I9" s="18">
        <f>H9*Assumptions!$B$5</f>
        <v>1.0</v>
      </c>
      <c r="J9" s="18">
        <f>H9*Assumptions!$B$6</f>
        <v>50.0</v>
      </c>
      <c r="K9" s="17">
        <f>I9/Assumptions!$B$5</f>
        <v>0.001</v>
      </c>
      <c r="L9" s="17">
        <f>J9/Assumptions!$B$6</f>
        <v>0.001</v>
      </c>
      <c r="M9" s="19" t="inlineStr">
        <is>
          <t>Unverified</t>
        </is>
      </c>
      <c r="N9" s="20" t="inlineStr">
        <is>
          <t>Arithmetic OK but the whole row rests on the 1 compute-second/page assumption on the Assumptions tab. No identifiable vendor.</t>
        </is>
      </c>
    </row>
    <row r="10" ht="52" customHeight="1">
      <c r="A10" s="21" t="n">
        <v>6</v>
      </c>
      <c r="B10" s="22" t="inlineStr">
        <is>
          <t>PaddleOCR-VL-1.6 (Token Dense)</t>
        </is>
      </c>
      <c r="C10" s="21" t="inlineStr">
        <is>
          <t>Novita AI / Fireworks AI (Surge Rate)</t>
        </is>
      </c>
      <c r="D10" s="21" t="inlineStr">
        <is>
          <t>Per-token</t>
        </is>
      </c>
      <c r="E10" s="31" t="n">
        <v>0.1</v>
      </c>
      <c r="F10" s="21" t="inlineStr">
        <is>
          <t>USD / 1M tokens</t>
        </is>
      </c>
      <c r="G10" s="32" t="n">
        <v>18000</v>
      </c>
      <c r="H10" s="27">
        <f>E10/1000000*G10</f>
        <v>0.0018000000000000002</v>
      </c>
      <c r="I10" s="26">
        <f>H10*Assumptions!$B$5</f>
        <v>1.8000000000000003</v>
      </c>
      <c r="J10" s="26">
        <f>H10*Assumptions!$B$6</f>
        <v>90.00000000000001</v>
      </c>
      <c r="K10" s="27">
        <f>I10/Assumptions!$B$5</f>
        <v>0.0018000000000000002</v>
      </c>
      <c r="L10" s="27">
        <f>J10/Assumptions!$B$6</f>
        <v>0.0018000000000000004</v>
      </c>
      <c r="M10" s="33" t="inlineStr">
        <is>
          <t>Rate disputed</t>
        </is>
      </c>
      <c r="N10" s="29" t="inlineStr">
        <is>
          <t>Arithmetic OK. Same serverless caveat. Also note 18,000 tokens/page exceeds Novita's 16,384 context window for this model, so this scenario is not reachable on that host.</t>
        </is>
      </c>
    </row>
    <row r="11" ht="52" customHeight="1">
      <c r="A11" s="13" t="n">
        <v>7</v>
      </c>
      <c r="B11" s="14" t="inlineStr">
        <is>
          <t>PaddleOCR-VL-1.6 (Flat Page)</t>
        </is>
      </c>
      <c r="C11" s="13" t="inlineStr">
        <is>
          <t>Premium Boutique API Wrappers</t>
        </is>
      </c>
      <c r="D11" s="13" t="inlineStr">
        <is>
          <t>Per-page</t>
        </is>
      </c>
      <c r="E11" s="15" t="n">
        <v>0.002</v>
      </c>
      <c r="F11" s="13" t="inlineStr">
        <is>
          <t>USD / page</t>
        </is>
      </c>
      <c r="G11" s="34" t="n"/>
      <c r="H11" s="17">
        <f>E11</f>
        <v>0.002</v>
      </c>
      <c r="I11" s="18">
        <f>H11*Assumptions!$B$5</f>
        <v>2.0</v>
      </c>
      <c r="J11" s="18">
        <f>H11*Assumptions!$B$6</f>
        <v>100.0</v>
      </c>
      <c r="K11" s="17">
        <f>I11/Assumptions!$B$5</f>
        <v>0.002</v>
      </c>
      <c r="L11" s="17">
        <f>J11/Assumptions!$B$6</f>
        <v>0.002</v>
      </c>
      <c r="M11" s="19" t="inlineStr">
        <is>
          <t>Unverified</t>
        </is>
      </c>
      <c r="N11" s="20" t="inlineStr">
        <is>
          <t>Arithmetic OK. No named vendor, so the rate cannot be checked against anything.</t>
        </is>
      </c>
    </row>
    <row r="12" ht="52" customHeight="1">
      <c r="A12" s="21" t="n">
        <v>8</v>
      </c>
      <c r="B12" s="22" t="inlineStr">
        <is>
          <t>FastOCR</t>
        </is>
      </c>
      <c r="C12" s="21" t="inlineStr">
        <is>
          <t>Developer API (Asynchronous Flow)</t>
        </is>
      </c>
      <c r="D12" s="21" t="inlineStr">
        <is>
          <t>Per-page (assumed)</t>
        </is>
      </c>
      <c r="E12" s="31" t="n">
        <v>0.002</v>
      </c>
      <c r="F12" s="21" t="inlineStr">
        <is>
          <t>USD / page</t>
        </is>
      </c>
      <c r="G12" s="24" t="n"/>
      <c r="H12" s="27">
        <f>E12</f>
        <v>0.002</v>
      </c>
      <c r="I12" s="26">
        <f>H12*Assumptions!$B$5</f>
        <v>2.0</v>
      </c>
      <c r="J12" s="26">
        <f>H12*Assumptions!$B$6</f>
        <v>100.0</v>
      </c>
      <c r="K12" s="27">
        <f>I12/Assumptions!$B$5</f>
        <v>0.002</v>
      </c>
      <c r="L12" s="27">
        <f>J12/Assumptions!$B$6</f>
        <v>0.002</v>
      </c>
      <c r="M12" s="36" t="inlineStr">
        <is>
          <t>Unverified</t>
        </is>
      </c>
      <c r="N12" s="29" t="inlineStr">
        <is>
          <t>The $2.00 is an assumption, not a quote - and a custom business tier is precisely what does not scale linearly at 50x. The public FastOCR is a consumer tool at $3.99-$10.99/mo with monthly page allowances.</t>
        </is>
      </c>
    </row>
    <row r="13" ht="52" customHeight="1">
      <c r="A13" s="13" t="n">
        <v>9</v>
      </c>
      <c r="B13" s="14" t="inlineStr">
        <is>
          <t>Mistral OCR 4 (Batch API)</t>
        </is>
      </c>
      <c r="C13" s="13" t="inlineStr">
        <is>
          <t>Mistral Studio / Batch endpoint</t>
        </is>
      </c>
      <c r="D13" s="13" t="inlineStr">
        <is>
          <t>Per-page</t>
        </is>
      </c>
      <c r="E13" s="15" t="n">
        <v>0.002</v>
      </c>
      <c r="F13" s="13" t="inlineStr">
        <is>
          <t>USD / page</t>
        </is>
      </c>
      <c r="G13" s="34" t="n"/>
      <c r="H13" s="17">
        <f>E13</f>
        <v>0.002</v>
      </c>
      <c r="I13" s="18">
        <f>H13*Assumptions!$B$5</f>
        <v>2.0</v>
      </c>
      <c r="J13" s="18">
        <f>H13*Assumptions!$B$6</f>
        <v>100.0</v>
      </c>
      <c r="K13" s="17">
        <f>I13/Assumptions!$B$5</f>
        <v>0.002</v>
      </c>
      <c r="L13" s="17">
        <f>J13/Assumptions!$B$6</f>
        <v>0.002</v>
      </c>
      <c r="M13" s="37" t="inlineStr">
        <is>
          <t>Verified (vendor)</t>
        </is>
      </c>
      <c r="N13" s="20" t="inlineStr">
        <is>
          <t>$4/1,000 pages less the standard 50% Batch-API discount = $2/1,000. Source: mistral.ai/pricing/api and the OCR 4 launch post, 23 Jun 2026. Model string mistral-ocr-4-0.</t>
        </is>
      </c>
    </row>
    <row r="14" ht="52" customHeight="1">
      <c r="A14" s="21" t="n">
        <v>10</v>
      </c>
      <c r="B14" s="22" t="inlineStr">
        <is>
          <t>LightOnOCR-2-1B</t>
        </is>
      </c>
      <c r="C14" s="21" t="inlineStr">
        <is>
          <t>LightOn Platform (FX Rate Fluctuations)</t>
        </is>
      </c>
      <c r="D14" s="21" t="inlineStr">
        <is>
          <t>Per-page</t>
        </is>
      </c>
      <c r="E14" s="31" t="n">
        <v>0.002</v>
      </c>
      <c r="F14" s="21" t="inlineStr">
        <is>
          <t>EUR / page</t>
        </is>
      </c>
      <c r="G14" s="24" t="n"/>
      <c r="H14" s="25">
        <f>E14*Assumptions!$B$7</f>
        <v>0.0022794</v>
      </c>
      <c r="I14" s="26">
        <f>H14*Assumptions!$B$5</f>
        <v>2.2794</v>
      </c>
      <c r="J14" s="26">
        <f>H14*Assumptions!$B$6</f>
        <v>113.97</v>
      </c>
      <c r="K14" s="27">
        <f>I14/Assumptions!$B$5</f>
        <v>0.0022794</v>
      </c>
      <c r="L14" s="27">
        <f>J14/Assumptions!$B$6</f>
        <v>0.0022794</v>
      </c>
      <c r="M14" s="38" t="inlineStr">
        <is>
          <t>Verified</t>
        </is>
      </c>
      <c r="N14" s="29" t="inlineStr">
        <is>
          <t>CORRECTED FX: source sheet converted EUR 0.0020 at 1.25. Spot was 1.1397 on 27 Jul 2026, giving $2.28 not $2.50. Keep 1.25 only if you intend a deliberate FX stress ceiling, and label it as one.</t>
        </is>
      </c>
    </row>
    <row r="15" ht="52" customHeight="1">
      <c r="A15" s="13" t="n">
        <v>11</v>
      </c>
      <c r="B15" s="14" t="inlineStr">
        <is>
          <t>Mistral OCR 4 (Standard API)</t>
        </is>
      </c>
      <c r="C15" s="13" t="inlineStr">
        <is>
          <t>Mistral Studio / Sync endpoint</t>
        </is>
      </c>
      <c r="D15" s="13" t="inlineStr">
        <is>
          <t>Per-page</t>
        </is>
      </c>
      <c r="E15" s="15" t="n">
        <v>0.004</v>
      </c>
      <c r="F15" s="13" t="inlineStr">
        <is>
          <t>USD / page</t>
        </is>
      </c>
      <c r="G15" s="34" t="n"/>
      <c r="H15" s="17">
        <f>E15</f>
        <v>0.004</v>
      </c>
      <c r="I15" s="18">
        <f>H15*Assumptions!$B$5</f>
        <v>4.0</v>
      </c>
      <c r="J15" s="18">
        <f>H15*Assumptions!$B$6</f>
        <v>200.0</v>
      </c>
      <c r="K15" s="17">
        <f>I15/Assumptions!$B$5</f>
        <v>0.004</v>
      </c>
      <c r="L15" s="17">
        <f>J15/Assumptions!$B$6</f>
        <v>0.004</v>
      </c>
      <c r="M15" s="37" t="inlineStr">
        <is>
          <t>Verified (vendor)</t>
        </is>
      </c>
      <c r="N15" s="20" t="inlineStr">
        <is>
          <t>$4 per 1,000 pages, list. Source: mistral.ai/pricing/api. Returns bounding boxes, block classification and per-word confidence scores; 170 languages; self-hosting available to enterprise.</t>
        </is>
      </c>
    </row>
    <row r="16" ht="52" customHeight="1">
      <c r="A16" s="21" t="n">
        <v>12</v>
      </c>
      <c r="B16" s="22" t="inlineStr">
        <is>
          <t>MinerU Extractor</t>
        </is>
      </c>
      <c r="C16" s="21" t="inlineStr">
        <is>
          <t>OpenDataLab (Paid SLA / Over-quota Priority)</t>
        </is>
      </c>
      <c r="D16" s="21" t="inlineStr">
        <is>
          <t>Per-page</t>
        </is>
      </c>
      <c r="E16" s="31" t="n">
        <v>0.005</v>
      </c>
      <c r="F16" s="21" t="inlineStr">
        <is>
          <t>USD / page</t>
        </is>
      </c>
      <c r="G16" s="24" t="n"/>
      <c r="H16" s="27">
        <f>E16</f>
        <v>0.005</v>
      </c>
      <c r="I16" s="26">
        <f>H16*Assumptions!$B$5</f>
        <v>5.0</v>
      </c>
      <c r="J16" s="26">
        <f>H16*Assumptions!$B$6</f>
        <v>250.0</v>
      </c>
      <c r="K16" s="27">
        <f>I16/Assumptions!$B$5</f>
        <v>0.005</v>
      </c>
      <c r="L16" s="27">
        <f>J16/Assumptions!$B$6</f>
        <v>0.005</v>
      </c>
      <c r="M16" s="36" t="inlineStr">
        <is>
          <t>Unverified</t>
        </is>
      </c>
      <c r="N16" s="29" t="inlineStr">
        <is>
          <t>Arithmetic OK. MinerU documents a 2,000-page/day high-priority quota with degraded priority beyond it, but publishes no paid per-page rate.</t>
        </is>
      </c>
    </row>
    <row r="17" ht="52" customHeight="1">
      <c r="A17" s="13" t="n">
        <v>13</v>
      </c>
      <c r="B17" s="14" t="inlineStr">
        <is>
          <t>Mistral Document AI</t>
        </is>
      </c>
      <c r="C17" s="13" t="inlineStr">
        <is>
          <t>Mistral Studio (OCR 4 + schema pass)</t>
        </is>
      </c>
      <c r="D17" s="13" t="inlineStr">
        <is>
          <t>Per-page</t>
        </is>
      </c>
      <c r="E17" s="15" t="n">
        <v>0.005</v>
      </c>
      <c r="F17" s="13" t="inlineStr">
        <is>
          <t>USD / page</t>
        </is>
      </c>
      <c r="G17" s="34" t="n"/>
      <c r="H17" s="17">
        <f>E17</f>
        <v>0.005</v>
      </c>
      <c r="I17" s="18">
        <f>H17*Assumptions!$B$5</f>
        <v>5.0</v>
      </c>
      <c r="J17" s="18">
        <f>H17*Assumptions!$B$6</f>
        <v>250.0</v>
      </c>
      <c r="K17" s="17">
        <f>I17/Assumptions!$B$5</f>
        <v>0.005</v>
      </c>
      <c r="L17" s="17">
        <f>J17/Assumptions!$B$6</f>
        <v>0.005</v>
      </c>
      <c r="M17" s="37" t="inlineStr">
        <is>
          <t>Verified (vendor)</t>
        </is>
      </c>
      <c r="N17" s="20" t="inlineStr">
        <is>
          <t>$5 per 1,000 pages. Wraps OCR 4 with a mistral-small-2603 call that reshapes output to a JSON schema you define. Source: mistral.ai/pricing/api. The Agent API 'Libraries' tool prices OCR separately at $3/1K pages.</t>
        </is>
      </c>
    </row>
    <row r="18" ht="52" customHeight="1">
      <c r="A18" s="21" t="n">
        <v>14</v>
      </c>
      <c r="B18" s="22" t="inlineStr">
        <is>
          <t>Surya 2 OCR (Balanced)</t>
        </is>
      </c>
      <c r="C18" s="21" t="inlineStr">
        <is>
          <t>Dedicated Replicate Deployment (Low Volume)</t>
        </is>
      </c>
      <c r="D18" s="21" t="inlineStr">
        <is>
          <t>Per-page (derived)</t>
        </is>
      </c>
      <c r="E18" s="31" t="n">
        <v>0.01</v>
      </c>
      <c r="F18" s="21" t="inlineStr">
        <is>
          <t>USD / page</t>
        </is>
      </c>
      <c r="G18" s="24" t="n"/>
      <c r="H18" s="27">
        <f>E18</f>
        <v>0.01</v>
      </c>
      <c r="I18" s="26">
        <f>H18*Assumptions!$B$5</f>
        <v>10.0</v>
      </c>
      <c r="J18" s="26">
        <f>H18*Assumptions!$B$6</f>
        <v>500.0</v>
      </c>
      <c r="K18" s="27">
        <f>I18/Assumptions!$B$5</f>
        <v>0.01</v>
      </c>
      <c r="L18" s="27">
        <f>J18/Assumptions!$B$6</f>
        <v>0.01</v>
      </c>
      <c r="M18" s="39" t="inlineStr">
        <is>
          <t>Derived</t>
        </is>
      </c>
      <c r="N18" s="29" t="inlineStr">
        <is>
          <t>Replicate dedicated deployments bill per GPU-second, not per page. This is an effective rate at an unstated throughput assumption - state the pages/sec it implies.</t>
        </is>
      </c>
    </row>
    <row r="19" ht="52" customHeight="1">
      <c r="A19" s="13" t="n">
        <v>15</v>
      </c>
      <c r="B19" s="14" t="inlineStr">
        <is>
          <t>Chandra 2 OCR (Structured)</t>
        </is>
      </c>
      <c r="C19" s="13" t="inlineStr">
        <is>
          <t>Dedicated Replicate Deployment (Low Volume)</t>
        </is>
      </c>
      <c r="D19" s="13" t="inlineStr">
        <is>
          <t>Per-page (derived)</t>
        </is>
      </c>
      <c r="E19" s="15" t="n">
        <v>0.015</v>
      </c>
      <c r="F19" s="13" t="inlineStr">
        <is>
          <t>USD / page</t>
        </is>
      </c>
      <c r="G19" s="34" t="n"/>
      <c r="H19" s="17">
        <f>E19</f>
        <v>0.015</v>
      </c>
      <c r="I19" s="18">
        <f>H19*Assumptions!$B$5</f>
        <v>15.0</v>
      </c>
      <c r="J19" s="18">
        <f>H19*Assumptions!$B$6</f>
        <v>750.0</v>
      </c>
      <c r="K19" s="17">
        <f>I19/Assumptions!$B$5</f>
        <v>0.015</v>
      </c>
      <c r="L19" s="17">
        <f>J19/Assumptions!$B$6</f>
        <v>0.015</v>
      </c>
      <c r="M19" s="40" t="inlineStr">
        <is>
          <t>Derived</t>
        </is>
      </c>
      <c r="N19" s="20" t="inlineStr">
        <is>
          <t>Same GPU-second caveat as Surya. Datalab's own hosted pricing page did not render for confirmation.</t>
        </is>
      </c>
    </row>
    <row r="20" ht="52" customHeight="1">
      <c r="A20" s="21" t="n">
        <v>16</v>
      </c>
      <c r="B20" s="22" t="inlineStr">
        <is>
          <t>Besser OCR</t>
        </is>
      </c>
      <c r="C20" s="21" t="inlineStr">
        <is>
          <t>Web / API Portal Ingestion Dashboard</t>
        </is>
      </c>
      <c r="D20" s="21" t="inlineStr">
        <is>
          <t>Flat subscription</t>
        </is>
      </c>
      <c r="E20" s="31" t="n">
        <v>5000</v>
      </c>
      <c r="F20" s="21" t="inlineStr">
        <is>
          <t>SAR / month</t>
        </is>
      </c>
      <c r="G20" s="24" t="n"/>
      <c r="H20" s="25">
        <f>Assumptions!$B$14/Assumptions!$B$6</f>
        <v>0.026666666666666665</v>
      </c>
      <c r="I20" s="41">
        <f>Assumptions!$B$14</f>
        <v>1333.3333333333333</v>
      </c>
      <c r="J20" s="41">
        <f>Assumptions!$B$14</f>
        <v>1333.3333333333333</v>
      </c>
      <c r="K20" s="27">
        <f>I20/Assumptions!$B$5</f>
        <v>1.3333333333333333</v>
      </c>
      <c r="L20" s="27">
        <f>J20/Assumptions!$B$6</f>
        <v>0.026666666666666665</v>
      </c>
      <c r="M20" s="38" t="inlineStr">
        <is>
          <t>Verified (vendor email)</t>
        </is>
      </c>
      <c r="N20" s="29" t="inlineStr">
        <is>
          <t>Confirmed by the user via direct correspondence with the vendor. Flat monthly fee, so cost does not scale with volume - see the Crossover tab for the volume at which it starts to win.</t>
        </is>
      </c>
    </row>
    <row r="22">
      <c r="B22" s="9" t="inlineStr">
        <is>
          <t>Verified metered floor (API)</t>
        </is>
      </c>
      <c r="I22" s="10">
        <f>_xlfn.MINIFS(I5:I20,$M$5:$M$20,"Verified (vendor)")</f>
        <v>2.0</v>
      </c>
      <c r="N22" s="2" t="inlineStr">
        <is>
          <t>Cheapest rate here traceable to a vendor's own published pricing page.</t>
        </is>
      </c>
    </row>
    <row r="23">
      <c r="B23" s="9" t="inlineStr">
        <is>
          <t>API rows priced below that floor</t>
        </is>
      </c>
      <c r="I23" s="42">
        <f>COUNTIFS(I5:I20,"&lt;"&amp;I22,$D$5:$D$20,"&lt;&gt;Self-hosted GPU")</f>
        <v>5</v>
      </c>
      <c r="N23" s="2" t="inlineStr">
        <is>
          <t>Every one is rated Unverified or Rate disputed - the cheap end of the table is its least trustworthy part.</t>
        </is>
      </c>
    </row>
    <row r="24">
      <c r="B24" s="9" t="inlineStr">
        <is>
          <t>Spread, cheapest to dearest metered</t>
        </is>
      </c>
      <c r="I24" s="43">
        <f>_xlfn.MAXIFS(J5:J20,$D$5:$D$20,"&lt;&gt;Flat subscription")/MIN(J5:J20)</f>
        <v>49.99999999999999</v>
      </c>
    </row>
    <row r="25">
      <c r="B25" s="9" t="inlineStr">
        <is>
          <t>Vendor-verified rows</t>
        </is>
      </c>
      <c r="I25" t="str" s="4">
        <f>COUNTIF(M5:M20,"Verified*")&amp;" of "&amp;COUNTA(M5:M20)</f>
        <v>5 of 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4" customWidth="1" min="3" max="3"/>
    <col width="30" customWidth="1" min="4" max="4"/>
  </cols>
  <sheetData>
    <row r="1">
      <c r="A1" s="1" t="inlineStr">
        <is>
          <t>Besser OCR flat fee - break-even volume</t>
        </is>
      </c>
    </row>
    <row r="2">
      <c r="A2" s="2" t="inlineStr">
        <is>
          <t>Besser is a flat monthly subscription, so its cost per page falls as volume rises. Below each threshold the metered option is cheaper; above it, Besser is.</t>
        </is>
      </c>
    </row>
    <row r="4" ht="30" customHeight="1">
      <c r="A4" s="12" t="inlineStr">
        <is>
          <t>Metered option</t>
        </is>
      </c>
      <c r="B4" s="12" t="inlineStr">
        <is>
          <t>$/Page</t>
        </is>
      </c>
      <c r="C4" s="12" t="inlineStr">
        <is>
          <t>Pages/month where Besser breaks even</t>
        </is>
      </c>
      <c r="D4" s="12" t="inlineStr">
        <is>
          <t>Besser cheaper at 50,000 pages?</t>
        </is>
      </c>
    </row>
    <row r="5">
      <c r="A5" s="13" t="inlineStr">
        <is>
          <t>Chandra 2 OCR (Structured)</t>
        </is>
      </c>
      <c r="B5" s="35">
        <f>Comparison!H19</f>
        <v>0.015</v>
      </c>
      <c r="C5" s="44">
        <f>Assumptions!$B$14/B5</f>
        <v>88888.88888888889</v>
      </c>
      <c r="D5" t="str" s="13">
        <f>IF(Assumptions!$B$6&gt;C5,"Yes","No")</f>
        <v>No</v>
      </c>
    </row>
    <row r="6">
      <c r="A6" s="13" t="inlineStr">
        <is>
          <t>Surya 2 OCR (Balanced)</t>
        </is>
      </c>
      <c r="B6" s="35">
        <f>Comparison!H18</f>
        <v>0.01</v>
      </c>
      <c r="C6" s="44">
        <f>Assumptions!$B$14/B6</f>
        <v>133333.3333333333</v>
      </c>
      <c r="D6" t="str" s="13">
        <f>IF(Assumptions!$B$6&gt;C6,"Yes","No")</f>
        <v>No</v>
      </c>
    </row>
    <row r="7">
      <c r="A7" s="13" t="inlineStr">
        <is>
          <t>MinerU Extractor</t>
        </is>
      </c>
      <c r="B7" s="35">
        <f>Comparison!H16</f>
        <v>0.005</v>
      </c>
      <c r="C7" s="44">
        <f>Assumptions!$B$14/B7</f>
        <v>266666.6666666666</v>
      </c>
      <c r="D7" t="str" s="13">
        <f>IF(Assumptions!$B$6&gt;C7,"Yes","No")</f>
        <v>No</v>
      </c>
    </row>
    <row r="8">
      <c r="A8" s="13" t="inlineStr">
        <is>
          <t>Mistral Document AI</t>
        </is>
      </c>
      <c r="B8" s="35">
        <f>Comparison!H17</f>
        <v>0.005</v>
      </c>
      <c r="C8" s="44">
        <f>Assumptions!$B$14/B8</f>
        <v>266666.6666666666</v>
      </c>
      <c r="D8" t="str" s="13">
        <f>IF(Assumptions!$B$6&gt;C8,"Yes","No")</f>
        <v>No</v>
      </c>
    </row>
    <row r="9">
      <c r="A9" s="13" t="inlineStr">
        <is>
          <t>Mistral OCR 4 (Standard API)</t>
        </is>
      </c>
      <c r="B9" s="35">
        <f>Comparison!H15</f>
        <v>0.004</v>
      </c>
      <c r="C9" s="44">
        <f>Assumptions!$B$14/B9</f>
        <v>333333.3333333333</v>
      </c>
      <c r="D9" t="str" s="13">
        <f>IF(Assumptions!$B$6&gt;C9,"Yes","No")</f>
        <v>No</v>
      </c>
    </row>
    <row r="10">
      <c r="A10" s="13" t="inlineStr">
        <is>
          <t>LightOnOCR-2-1B</t>
        </is>
      </c>
      <c r="B10" s="35">
        <f>Comparison!H14</f>
        <v>0.0022794</v>
      </c>
      <c r="C10" s="44">
        <f>Assumptions!$B$14/B10</f>
        <v>584949.2556520721</v>
      </c>
      <c r="D10" t="str" s="13">
        <f>IF(Assumptions!$B$6&gt;C10,"Yes","No")</f>
        <v>No</v>
      </c>
    </row>
    <row r="11">
      <c r="A11" s="13" t="inlineStr">
        <is>
          <t>PaddleOCR-VL-1.6 (Flat Page)</t>
        </is>
      </c>
      <c r="B11" s="35">
        <f>Comparison!H11</f>
        <v>0.002</v>
      </c>
      <c r="C11" s="44">
        <f>Assumptions!$B$14/B11</f>
        <v>666666.6666666666</v>
      </c>
      <c r="D11" t="str" s="13">
        <f>IF(Assumptions!$B$6&gt;C11,"Yes","No")</f>
        <v>No</v>
      </c>
    </row>
    <row r="12">
      <c r="A12" s="13" t="inlineStr">
        <is>
          <t>FastOCR</t>
        </is>
      </c>
      <c r="B12" s="35">
        <f>Comparison!H12</f>
        <v>0.002</v>
      </c>
      <c r="C12" s="44">
        <f>Assumptions!$B$14/B12</f>
        <v>666666.6666666666</v>
      </c>
      <c r="D12" t="str" s="13">
        <f>IF(Assumptions!$B$6&gt;C12,"Yes","No")</f>
        <v>No</v>
      </c>
    </row>
    <row r="13">
      <c r="A13" s="13" t="inlineStr">
        <is>
          <t>Mistral OCR 4 (Batch API)</t>
        </is>
      </c>
      <c r="B13" s="35">
        <f>Comparison!H13</f>
        <v>0.002</v>
      </c>
      <c r="C13" s="44">
        <f>Assumptions!$B$14/B13</f>
        <v>666666.6666666666</v>
      </c>
      <c r="D13" t="str" s="13">
        <f>IF(Assumptions!$B$6&gt;C13,"Yes","No")</f>
        <v>No</v>
      </c>
    </row>
    <row r="14">
      <c r="A14" s="13" t="inlineStr">
        <is>
          <t>PaddleOCR-VL-1.6 (Token Dense)</t>
        </is>
      </c>
      <c r="B14" s="35">
        <f>Comparison!H10</f>
        <v>0.0018000000000000002</v>
      </c>
      <c r="C14" s="44">
        <f>Assumptions!$B$14/B14</f>
        <v>740740.7407407407</v>
      </c>
      <c r="D14" t="str" s="13">
        <f>IF(Assumptions!$B$6&gt;C14,"Yes","No")</f>
        <v>No</v>
      </c>
    </row>
    <row r="15">
      <c r="A15" s="13" t="inlineStr">
        <is>
          <t>Unlimited OCR (Serverless)</t>
        </is>
      </c>
      <c r="B15" s="35">
        <f>Comparison!H9</f>
        <v>0.001</v>
      </c>
      <c r="C15" s="44">
        <f>Assumptions!$B$14/B15</f>
        <v>1333333.3333333333</v>
      </c>
      <c r="D15" t="str" s="13">
        <f>IF(Assumptions!$B$6&gt;C15,"Yes","No")</f>
        <v>No</v>
      </c>
    </row>
    <row r="16">
      <c r="A16" s="13" t="inlineStr">
        <is>
          <t>DeepSeek OCR 2</t>
        </is>
      </c>
      <c r="B16" s="35">
        <f>Comparison!H8</f>
        <v>0.00056</v>
      </c>
      <c r="C16" s="44">
        <f>Assumptions!$B$14/B16</f>
        <v>2380952.380952381</v>
      </c>
      <c r="D16" t="str" s="13">
        <f>IF(Assumptions!$B$6&gt;C16,"Yes","No")</f>
        <v>No</v>
      </c>
    </row>
    <row r="17">
      <c r="A17" s="13" t="inlineStr">
        <is>
          <t>PaddleOCR-VL-1.6 (Token Standard)</t>
        </is>
      </c>
      <c r="B17" s="35">
        <f>Comparison!H7</f>
        <v>0.0005</v>
      </c>
      <c r="C17" s="44">
        <f>Assumptions!$B$14/B17</f>
        <v>2666666.6666666665</v>
      </c>
      <c r="D17" t="str" s="13">
        <f>IF(Assumptions!$B$6&gt;C17,"Yes","No")</f>
        <v>No</v>
      </c>
    </row>
    <row r="18">
      <c r="A18" s="13" t="inlineStr">
        <is>
          <t>dots.mocr (self-hosted)</t>
        </is>
      </c>
      <c r="B18" s="35">
        <f>Comparison!H6</f>
        <v>0.00045694444444444444</v>
      </c>
      <c r="C18" s="44">
        <f>Assumptions!$B$14/B18</f>
        <v>2917933.130699088</v>
      </c>
      <c r="D18" t="str" s="13">
        <f>IF(Assumptions!$B$6&gt;C18,"Yes","No")</f>
        <v>No</v>
      </c>
    </row>
    <row r="19">
      <c r="A19" s="13" t="inlineStr">
        <is>
          <t>GLM-OCR</t>
        </is>
      </c>
      <c r="B19" s="35">
        <f>Comparison!H5</f>
        <v>0.00030000000000000003</v>
      </c>
      <c r="C19" s="44">
        <f>Assumptions!$B$14/B19</f>
        <v>4444444.444444444</v>
      </c>
      <c r="D19" t="str" s="13">
        <f>IF(Assumptions!$B$6&gt;C19,"Yes","No")</f>
        <v>No</v>
      </c>
    </row>
    <row r="21">
      <c r="A21" s="2" t="inlineStr">
        <is>
          <t>At the 50,000-page benchmark Besser costs $0.0267/page - the most expensive option in the 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32" customWidth="1" min="4" max="4"/>
    <col width="74" customWidth="1" min="5" max="5"/>
  </cols>
  <sheetData>
    <row r="1">
      <c r="A1" s="1" t="inlineStr">
        <is>
          <t>Corrections applied to the source sheet</t>
        </is>
      </c>
    </row>
    <row r="3">
      <c r="A3" s="3" t="inlineStr">
        <is>
          <t>Row</t>
        </is>
      </c>
      <c r="B3" s="3" t="inlineStr">
        <is>
          <t>Field</t>
        </is>
      </c>
      <c r="C3" s="3" t="inlineStr">
        <is>
          <t>Was</t>
        </is>
      </c>
      <c r="D3" s="3" t="inlineStr">
        <is>
          <t>Now</t>
        </is>
      </c>
      <c r="E3" s="3" t="inlineStr">
        <is>
          <t>Why</t>
        </is>
      </c>
    </row>
    <row r="4" ht="46" customHeight="1">
      <c r="A4" s="45" t="inlineStr">
        <is>
          <t>DeepSeek OCR 2</t>
        </is>
      </c>
      <c r="B4" s="45" t="inlineStr">
        <is>
          <t>Cost per 1,000 / 50,000 pages</t>
        </is>
      </c>
      <c r="C4" s="45" t="inlineStr">
        <is>
          <t>$2.80 / $140.00</t>
        </is>
      </c>
      <c r="D4" s="45" t="inlineStr">
        <is>
          <t>$0.56 / $28.00</t>
        </is>
      </c>
      <c r="E4" s="20" t="inlineStr">
        <is>
          <t>1,120 tokens x $0.50/1M = $0.00056/page. The stated cost was 5x the sheet's own inputs.</t>
        </is>
      </c>
    </row>
    <row r="5" ht="46" customHeight="1">
      <c r="A5" s="45" t="inlineStr">
        <is>
          <t>GLM-OCR</t>
        </is>
      </c>
      <c r="B5" s="45" t="inlineStr">
        <is>
          <t>Cost per 1,000 / 50,000 pages</t>
        </is>
      </c>
      <c r="C5" s="45" t="inlineStr">
        <is>
          <t>$3.00 / $150.00</t>
        </is>
      </c>
      <c r="D5" s="45" t="inlineStr">
        <is>
          <t>$0.30 / $15.00</t>
        </is>
      </c>
      <c r="E5" s="20" t="inlineStr">
        <is>
          <t>1,500 tokens x $0.20/1M = $0.00030/page. The stated cost was 10x the sheet's own inputs.</t>
        </is>
      </c>
    </row>
    <row r="6" ht="46" customHeight="1">
      <c r="A6" s="45" t="inlineStr">
        <is>
          <t>LightOnOCR-2-1B</t>
        </is>
      </c>
      <c r="B6" s="45" t="inlineStr">
        <is>
          <t>EUR to USD conversion</t>
        </is>
      </c>
      <c r="C6" s="45" t="inlineStr">
        <is>
          <t>~$0.00250/page (implied 1.25)</t>
        </is>
      </c>
      <c r="D6" s="45" t="inlineStr">
        <is>
          <t>$0.00228/page (1.1397)</t>
        </is>
      </c>
      <c r="E6" s="20" t="inlineStr">
        <is>
          <t>EUR/USD spot was 1.1397 on 27 Jul 2026. A 1.25 rate overstates by ~10% unless intended as an FX stress ceiling.</t>
        </is>
      </c>
    </row>
    <row r="7" ht="46" customHeight="1">
      <c r="A7" s="45" t="inlineStr">
        <is>
          <t>Besser OCR</t>
        </is>
      </c>
      <c r="B7" s="45" t="inlineStr">
        <is>
          <t>SAR to USD conversion</t>
        </is>
      </c>
      <c r="C7" s="45" t="inlineStr">
        <is>
          <t>$1,333.00</t>
        </is>
      </c>
      <c r="D7" s="45" t="inlineStr">
        <is>
          <t>$1,333.33</t>
        </is>
      </c>
      <c r="E7" s="20" t="inlineStr">
        <is>
          <t>SAR 5,000 at the 3.75 peg. Minor - keep yours if Besser quoted USD directly.</t>
        </is>
      </c>
    </row>
    <row r="8" ht="46" customHeight="1">
      <c r="A8" s="45" t="inlineStr">
        <is>
          <t>(added)</t>
        </is>
      </c>
      <c r="B8" s="45" t="inlineStr">
        <is>
          <t>Mistral OCR 4 x3</t>
        </is>
      </c>
      <c r="C8" s="45" t="inlineStr">
        <is>
          <t>not present</t>
        </is>
      </c>
      <c r="D8" s="45" t="inlineStr">
        <is>
          <t>$2.00 / $4.00 / $5.00 per 1,000 pages</t>
        </is>
      </c>
      <c r="E8" s="20" t="inlineStr">
        <is>
          <t>Standard API, Batch API and Document AI tiers, read straight from mistral.ai/pricing/api.</t>
        </is>
      </c>
    </row>
    <row r="9" ht="46" customHeight="1">
      <c r="A9" s="45" t="inlineStr">
        <is>
          <t>(added)</t>
        </is>
      </c>
      <c r="B9" s="45" t="inlineStr">
        <is>
          <t>dots.mocr</t>
        </is>
      </c>
      <c r="C9" s="45" t="inlineStr">
        <is>
          <t>not present</t>
        </is>
      </c>
      <c r="D9" s="45" t="inlineStr">
        <is>
          <t>$0.46 per 1,000 pages (derived)</t>
        </is>
      </c>
      <c r="E9" s="20" t="inlineStr">
        <is>
          <t>Requested addition. It has no API and no inference provider, so it cannot carry a price - the figure is rented-GPU compute at the Assumptions-tab rate and throughput. Treat it as a build-cost estimate, not a quote.</t>
        </is>
      </c>
    </row>
    <row r="12">
      <c r="A12" s="1" t="inlineStr">
        <is>
          <t>Confidence ratings</t>
        </is>
      </c>
    </row>
    <row r="13">
      <c r="A13" s="9" t="inlineStr">
        <is>
          <t>Verified (vendor)</t>
        </is>
      </c>
      <c r="B13" s="46" t="inlineStr">
        <is>
          <t>Rate read directly from the vendor's own published pricing page.</t>
        </is>
      </c>
    </row>
    <row r="14">
      <c r="A14" s="9" t="inlineStr">
        <is>
          <t>Verified (vendor email)</t>
        </is>
      </c>
      <c r="B14" s="46" t="inlineStr">
        <is>
          <t>Rate supplied by the user from direct correspondence with the vendor.</t>
        </is>
      </c>
    </row>
    <row r="15">
      <c r="A15" s="9" t="inlineStr">
        <is>
          <t>Verified</t>
        </is>
      </c>
      <c r="B15" s="46" t="inlineStr">
        <is>
          <t>Rate confirmed, with an input (e.g. FX) corrected to a sourced value.</t>
        </is>
      </c>
    </row>
    <row r="16">
      <c r="A16" s="9" t="inlineStr">
        <is>
          <t>Self-hosted (no API)</t>
        </is>
      </c>
      <c r="B16" s="46" t="inlineStr">
        <is>
          <t>No hosted API exists at any price. The figure is your own infrastructure cost, and moves entirely with the GPU rate and throughput on the Assumptions tab.</t>
        </is>
      </c>
    </row>
    <row r="17">
      <c r="A17" s="9" t="inlineStr">
        <is>
          <t>Derived</t>
        </is>
      </c>
      <c r="B17" s="46" t="inlineStr">
        <is>
          <t>Vendor bills on a different unit (GPU-seconds); the per-page figure rests on an unstated throughput assumption.</t>
        </is>
      </c>
    </row>
    <row r="18">
      <c r="A18" s="9" t="inlineStr">
        <is>
          <t>Rate disputed</t>
        </is>
      </c>
      <c r="B18" s="46" t="inlineStr">
        <is>
          <t>A published rate exists and the ceiling used here sits materially above it.</t>
        </is>
      </c>
    </row>
    <row r="19">
      <c r="A19" s="9" t="inlineStr">
        <is>
          <t>Unverified</t>
        </is>
      </c>
      <c r="B19" s="46" t="inlineStr">
        <is>
          <t>No published source found for the rate, or no identifiable vendor.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2026-07-27T14:58:24Z</dcterms:created>
  <dcterms:modified xmlns:dcterms="http://purl.org/dc/terms/" xmlns:xsi="http://www.w3.org/2001/XMLSchema-instance" xsi:type="dcterms:W3CDTF">2026-07-27T14:58:24Z</dcterms:modified>
</cp:coreProperties>
</file>